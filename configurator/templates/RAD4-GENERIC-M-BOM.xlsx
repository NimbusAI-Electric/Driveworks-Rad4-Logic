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CPN">Sheet1!$D$1</definedName>
    <definedName name="Date">Sheet1!$D$2</definedName>
    <definedName name="DriverEnclosure">Sheet1!#REF!</definedName>
    <definedName name="Finish">Sheet1!$G$12</definedName>
    <definedName name="Height">Sheet1!$E$12</definedName>
    <definedName name="Width">Sheet1!$C$12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0.0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entury Gothic"/>
      <family val="2"/>
      <color theme="1"/>
      <sz val="10"/>
    </font>
    <font>
      <name val="Calibri"/>
      <family val="2"/>
      <b val="1"/>
      <color theme="1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4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13" fontId="0" fillId="0" borderId="0" pivotButton="0" quotePrefix="0" xfId="0"/>
    <xf numFmtId="13" fontId="1" fillId="0" borderId="0" applyAlignment="1" pivotButton="0" quotePrefix="0" xfId="0">
      <alignment horizontal="center"/>
    </xf>
    <xf numFmtId="13" fontId="0" fillId="0" borderId="0" applyAlignment="1" pivotButton="0" quotePrefix="0" xfId="0">
      <alignment horizontal="center"/>
    </xf>
    <xf numFmtId="13" fontId="1" fillId="0" borderId="7" applyAlignment="1" pivotButton="0" quotePrefix="0" xfId="0">
      <alignment horizontal="center"/>
    </xf>
    <xf numFmtId="165" fontId="1" fillId="0" borderId="6" applyAlignment="1" pivotButton="0" quotePrefix="0" xfId="0">
      <alignment horizontal="center"/>
    </xf>
    <xf numFmtId="13" fontId="1" fillId="0" borderId="14" applyAlignment="1" pivotButton="0" quotePrefix="0" xfId="0">
      <alignment horizontal="center"/>
    </xf>
    <xf numFmtId="165" fontId="0" fillId="0" borderId="6" applyAlignment="1" pivotButton="0" quotePrefix="0" xfId="0">
      <alignment horizontal="center"/>
    </xf>
    <xf numFmtId="13" fontId="0" fillId="0" borderId="7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3" borderId="12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/>
    </xf>
    <xf numFmtId="13" fontId="1" fillId="0" borderId="13" applyAlignment="1" pivotButton="0" quotePrefix="0" xfId="0">
      <alignment horizontal="center"/>
    </xf>
    <xf numFmtId="2" fontId="1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2" fontId="1" fillId="6" borderId="6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165" fontId="1" fillId="0" borderId="6" applyAlignment="1" pivotButton="0" quotePrefix="0" xfId="0">
      <alignment horizontal="center" vertical="center"/>
    </xf>
    <xf numFmtId="165" fontId="1" fillId="0" borderId="7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1"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 patternType="lightTrellis">
          <fgColor theme="2" tint="-0.249946592608417"/>
        </patternFill>
      </fill>
    </dxf>
    <dxf>
      <font>
        <b val="1"/>
      </font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107"/>
  <sheetViews>
    <sheetView tabSelected="1" view="pageLayout" zoomScale="85" zoomScaleNormal="85" zoomScalePageLayoutView="85" workbookViewId="0">
      <selection activeCell="D6" sqref="D6:H6"/>
    </sheetView>
  </sheetViews>
  <sheetFormatPr baseColWidth="8" defaultColWidth="9.140625" defaultRowHeight="12.75"/>
  <cols>
    <col width="6.140625" customWidth="1" style="7" min="1" max="1"/>
    <col width="10.28515625" customWidth="1" style="7" min="2" max="2"/>
    <col width="10.28515625" customWidth="1" style="1" min="3" max="8"/>
    <col width="10" customWidth="1" style="7" min="9" max="9"/>
    <col width="8.7109375" customWidth="1" style="7" min="10" max="10"/>
    <col width="8.5703125" bestFit="1" customWidth="1" style="1" min="11" max="11"/>
    <col width="9.140625" customWidth="1" style="1" min="12" max="16384"/>
  </cols>
  <sheetData>
    <row r="1" ht="15" customHeight="1" s="52">
      <c r="C1" s="59" t="inlineStr">
        <is>
          <t>MIRROR FINISH CPN:</t>
        </is>
      </c>
      <c r="D1" t="inlineStr">
        <is>
          <t>RAD4-36.00X36.00-NK04-30K-M</t>
        </is>
      </c>
    </row>
    <row r="2" ht="14.45" customHeight="1" s="52">
      <c r="B2" s="59" t="inlineStr">
        <is>
          <t>DATE:</t>
        </is>
      </c>
      <c r="D2" s="53" t="n"/>
    </row>
    <row r="3" ht="14.45" customHeight="1" s="52">
      <c r="B3" s="59" t="inlineStr">
        <is>
          <t>REVISION:</t>
        </is>
      </c>
      <c r="D3" s="54" t="inlineStr">
        <is>
          <t>A</t>
        </is>
      </c>
    </row>
    <row r="4" ht="15" customHeight="1" s="52">
      <c r="C4" s="59" t="inlineStr">
        <is>
          <t>MIRROR DRAWING (BASE MODEL):</t>
        </is>
      </c>
      <c r="D4" s="55" t="inlineStr">
        <is>
          <t>RAD4-WW.WWXHH.HH-M-SHOP</t>
        </is>
      </c>
    </row>
    <row r="5" ht="15" customHeight="1" s="52">
      <c r="C5" s="59" t="inlineStr">
        <is>
          <t>MIRROR PLOT DXF:</t>
        </is>
      </c>
      <c r="D5" s="54">
        <f>LEFT(CPN, FIND("-M", CPN)-1)&amp;"-M-PLOT"</f>
        <v/>
      </c>
    </row>
    <row r="6" ht="14.45" customHeight="1" s="52">
      <c r="B6" s="59" t="inlineStr">
        <is>
          <t>ENGINEER:</t>
        </is>
      </c>
      <c r="D6" s="54" t="n"/>
    </row>
    <row r="7" ht="14.45" customHeight="1" s="52">
      <c r="B7" s="59" t="inlineStr">
        <is>
          <t>QC CHECK BY:</t>
        </is>
      </c>
      <c r="D7" s="54" t="n"/>
    </row>
    <row r="8" ht="14.45" customHeight="1" s="52">
      <c r="B8" s="61" t="inlineStr">
        <is>
          <t>QC CHECK DATE:</t>
        </is>
      </c>
      <c r="C8" s="67" t="n"/>
      <c r="D8" s="60" t="n"/>
      <c r="E8" s="67" t="n"/>
      <c r="F8" s="67" t="n"/>
      <c r="G8" s="67" t="n"/>
      <c r="H8" s="67" t="n"/>
    </row>
    <row r="9" ht="14.45" customHeight="1" s="52">
      <c r="A9" s="11" t="inlineStr">
        <is>
          <t>REV</t>
        </is>
      </c>
      <c r="B9" s="11" t="inlineStr">
        <is>
          <t>CHANGES</t>
        </is>
      </c>
      <c r="C9" s="68" t="n"/>
      <c r="D9" s="68" t="n"/>
      <c r="E9" s="68" t="n"/>
      <c r="F9" s="68" t="n"/>
      <c r="G9" s="68" t="n"/>
      <c r="H9" s="69" t="n"/>
      <c r="I9" s="11" t="inlineStr">
        <is>
          <t>REV/CHECK</t>
        </is>
      </c>
      <c r="J9" s="11" t="inlineStr">
        <is>
          <t>DATE</t>
        </is>
      </c>
    </row>
    <row r="10">
      <c r="A10" s="11" t="n"/>
      <c r="B10" s="11" t="n"/>
      <c r="C10" s="68" t="n"/>
      <c r="D10" s="68" t="n"/>
      <c r="E10" s="68" t="n"/>
      <c r="F10" s="68" t="n"/>
      <c r="G10" s="68" t="n"/>
      <c r="H10" s="69" t="n"/>
      <c r="I10" s="11" t="n"/>
      <c r="J10" s="12" t="n"/>
    </row>
    <row r="11" ht="9" customHeight="1" s="52">
      <c r="C11" s="7" t="n"/>
      <c r="D11" s="7" t="n"/>
      <c r="E11" s="7" t="n"/>
      <c r="F11" s="7" t="n"/>
      <c r="G11" s="7" t="n"/>
      <c r="H11" s="7" t="n"/>
    </row>
    <row r="12">
      <c r="B12" s="26" t="inlineStr">
        <is>
          <t>W</t>
        </is>
      </c>
      <c r="C12" s="32">
        <f>_xlfn.NUMBERVALUE(LEFT(RIGHT(CPN, LEN(CPN) - 5), LEN(CPN) - (LEN(CPN)-5)))</f>
        <v/>
      </c>
      <c r="D12" s="26" t="inlineStr">
        <is>
          <t>H</t>
        </is>
      </c>
      <c r="E12" s="32">
        <f>_xlfn.NUMBERVALUE(LEFT(RIGHT(CPN, LEN(CPN) - 11), LEN(CPN) - (LEN(CPN)-5)))</f>
        <v/>
      </c>
      <c r="F12" s="24" t="inlineStr">
        <is>
          <t>FINISH</t>
        </is>
      </c>
      <c r="G12" s="29">
        <f t="array" ref="G12">IF(COUNT(SEARCH({"00A","01A","02A","03A","04A","05A","06A","01P","02P"}, CPN)), LEFT(RIGHT(CPN, LEN(CPN) - 17), LEN(CPN) - (LEN(CPN)-3)), LEFT(RIGHT(CPN, LEN(CPN) - 17), LEN(CPN) - (LEN(CPN)-4)))</f>
        <v/>
      </c>
      <c r="J12" s="23" t="inlineStr">
        <is>
          <t>MX</t>
        </is>
      </c>
    </row>
    <row r="13">
      <c r="B13" s="70" t="inlineStr">
        <is>
          <t>X</t>
        </is>
      </c>
      <c r="C13" s="19">
        <f>FIXED(CONVERT(Width, "in", "mm") - CONVERT(1.5345, "in", "mm"), 1)</f>
        <v/>
      </c>
      <c r="D13" s="70" t="inlineStr">
        <is>
          <t>Y</t>
        </is>
      </c>
      <c r="E13" s="19">
        <f>FIXED(CONVERT(Height, "in", "mm") - CONVERT(1.5345, "in", "mm"), 1)</f>
        <v/>
      </c>
      <c r="F13" s="70" t="inlineStr">
        <is>
          <t>MASS</t>
        </is>
      </c>
      <c r="G13" s="71">
        <f>FIXED(((C14 * E14) * 3 / 144), 2)</f>
        <v/>
      </c>
      <c r="H13" s="70" t="inlineStr">
        <is>
          <t>UNIT DEPTH</t>
        </is>
      </c>
      <c r="I13" s="10" t="n">
        <v>1.44</v>
      </c>
      <c r="J13" s="31">
        <f>FIXED(IF(_xlfn.NUMBERVALUE(Width) &lt; 30, 55.9, 119.4), 1)</f>
        <v/>
      </c>
    </row>
    <row r="14" ht="15" customHeight="1" s="52">
      <c r="B14" s="72" t="n"/>
      <c r="C14" s="18">
        <f>ROUND(CONVERT(C13, "mm", "in") * 16, 0) / 16</f>
        <v/>
      </c>
      <c r="D14" s="72" t="n"/>
      <c r="E14" s="18">
        <f>ROUND(CONVERT(E13, "mm", "in") * 16, 0) / 16</f>
        <v/>
      </c>
      <c r="F14" s="72" t="n"/>
      <c r="G14" s="72" t="n"/>
      <c r="H14" s="72" t="n"/>
      <c r="I14" s="72" t="n"/>
      <c r="J14" s="27">
        <f>ROUND(CONVERT(J13, "mm", "in") * 16, 0) / 16</f>
        <v/>
      </c>
    </row>
    <row r="15">
      <c r="B15" s="6" t="n"/>
      <c r="C15" s="16" t="n"/>
      <c r="D15" s="6" t="n"/>
      <c r="E15" s="16" t="n"/>
      <c r="F15" s="6" t="n"/>
      <c r="G15" s="25" t="n"/>
      <c r="H15" s="16" t="n"/>
      <c r="I15" s="16" t="n"/>
      <c r="J15" s="23" t="inlineStr">
        <is>
          <t>DIM M</t>
        </is>
      </c>
    </row>
    <row r="16" ht="15" customHeight="1" s="52">
      <c r="B16" s="70" t="inlineStr">
        <is>
          <t>H1</t>
        </is>
      </c>
      <c r="C16" s="19">
        <f>IF(_xlfn.NUMBERVALUE(Width) &lt;= 14.75, "Error",
IF(_xlfn.NUMBERVALUE(Width) &lt;= 20.24,
               IF((((_xlfn.NUMBERVALUE(Width) * _xlfn.NUMBERVALUE(Height) * 3/ 144) + ((_xlfn.NUMBERVALUE(Width)+_xlfn.NUMBERVALUE(Height)) * 2 * 0.4047462 * 0.1047691)) * 3) &lt; 83.74, (C13 / 2) - CONVERT(5.25 + 0.0625, "in","mm"), IF((((_xlfn.NUMBERVALUE(Width) * _xlfn.NUMBERVALUE(Height) * 3/ 144) + ((_xlfn.NUMBERVALUE(Width)+_xlfn.NUMBERVALUE(Height)) * 2 * 0.4047462 * 0.1047691)) * 3) &gt; 152.15, "Error", (C13 / 2) - CONVERT(5.25 + 0.0625, "in","mm"))),
IF(_xlfn.NUMBERVALUE(Width) &lt;= 24.24,
               IF((((_xlfn.NUMBERVALUE(Width) * _xlfn.NUMBERVALUE(Height) * 3/ 144) + ((_xlfn.NUMBERVALUE(Width)+_xlfn.NUMBERVALUE(Height)) * 2 * 0.4047462 * 0.1047691)) * 3) &lt; 110.61, (C13 / 2) - CONVERT(8 + 0.0625, "in","mm"), IF((((_xlfn.NUMBERVALUE(Width) * _xlfn.NUMBERVALUE(Height) * 3/ 144) + ((_xlfn.NUMBERVALUE(Width)+_xlfn.NUMBERVALUE(Height)) * 2 * 0.4047462 * 0.1047691)) * 3) &gt; 231.84, "Error", (C13 / 2) - CONVERT(8 + 0.0625, "in","mm"))),
IF(_xlfn.NUMBERVALUE(Width) &lt;= 37.24,
               IF((((_xlfn.NUMBERVALUE(Width) * _xlfn.NUMBERVALUE(Height) * 3/ 144) + ((_xlfn.NUMBERVALUE(Width)+_xlfn.NUMBERVALUE(Height)) * 2 * 0.4047462 * 0.1047691)) * 3) &lt; 170, (C13 / 2) - CONVERT(10 + 0.0625, "in","mm"), IF((((_xlfn.NUMBERVALUE(Width) * _xlfn.NUMBERVALUE(Height) * 3/ 144) + ((_xlfn.NUMBERVALUE(Width)+_xlfn.NUMBERVALUE(Height)) * 2 * 0.4047462 * 0.1047691)) * 3) &gt; 327.8, "Error", (C13 / 2) - CONVERT(10 + 0.0625, "in","mm"))),
IF(_xlfn.NUMBERVALUE(Width) &lt;= 49.24,
               IF((((_xlfn.NUMBERVALUE(Width) * _xlfn.NUMBERVALUE(Height) * 3/ 144) + ((_xlfn.NUMBERVALUE(Width)+_xlfn.NUMBERVALUE(Height)) * 2 * 0.4047462 * 0.1047691)) * 3) &lt; 218.63, (C13 / 2) - CONVERT(16.5 + 0.0625, "in","mm"), IF((((_xlfn.NUMBERVALUE(Width) * _xlfn.NUMBERVALUE(Height) * 3/ 144) + ((_xlfn.NUMBERVALUE(Width)+_xlfn.NUMBERVALUE(Height)) * 2 * 0.4047462 * 0.1047691)) * 3) &gt; 408.87, "Error", (C13 / 2) - CONVERT(16.5 + 0.0625, "in","mm"))),
IF(_xlfn.NUMBERVALUE(Width) &lt;= 64.24,
               IF((((_xlfn.NUMBERVALUE(Width) * _xlfn.NUMBERVALUE(Height) * 3/ 144) + ((_xlfn.NUMBERVALUE(Width)+_xlfn.NUMBERVALUE(Height)) * 2 * 0.4047462 * 0.1047691)) * 3) &lt; 264.38, (C13 / 2) - CONVERT(22.5 + 0.0625, "in","mm"), IF((((_xlfn.NUMBERVALUE(Width) * _xlfn.NUMBERVALUE(Height) * 3/ 144) + ((_xlfn.NUMBERVALUE(Width)+_xlfn.NUMBERVALUE(Height)) * 2 * 0.4047462 * 0.1047691)) * 3) &gt; 467.55, "Error", (C13 / 2) - CONVERT(22.5 + 0.0625, "in","mm"))),
IF(AND(_xlfn.NUMBERVALUE(Width) = 78.25, _xlfn.NUMBERVALUE(Height) &gt; 61.25),
               "Error",
IF(_xlfn.NUMBERVALUE(Width) &lt;= 78.25, IF((((_xlfn.NUMBERVALUE(Width) * _xlfn.NUMBERVALUE(Height) * 3/ 144) + ((_xlfn.NUMBERVALUE(Width)+_xlfn.NUMBERVALUE(Height)) * 2 * 0.4047462 * 0.1047691)) * 3) &lt; 300, (C13 / 2) - CONVERT(30 + 0.0625, "in","mm"), IF((((_xlfn.NUMBERVALUE(Width) * _xlfn.NUMBERVALUE(Height) * 3/ 144) + ((_xlfn.NUMBERVALUE(Width)+_xlfn.NUMBERVALUE(Height)) * 2 * 0.4047462 * 0.1047691)) * 3) &gt; 540, "Error", (C13 / 2) - CONVERT(30 + 0.0625, "in","mm"))),
               "Error"))))))))</f>
        <v/>
      </c>
      <c r="D16" s="70" t="inlineStr">
        <is>
          <t>H2</t>
        </is>
      </c>
      <c r="E16" s="19">
        <f>IF(_xlfn.NUMBERVALUE(Width) &lt;= 14.75, "Error",
IF(_xlfn.NUMBERVALUE(Width) &lt;= 20.24,
               IF((((_xlfn.NUMBERVALUE(Width) * _xlfn.NUMBERVALUE(Height) * 3/ 144) + ((_xlfn.NUMBERVALUE(Width)+_xlfn.NUMBERVALUE(Height)) * 2 * 0.4047462 * 0.1047691)) * 3) &lt; 83.74, (C13 / 2) + CONVERT(5.25 + 0.0625, "in","mm"), IF((((_xlfn.NUMBERVALUE(Width) * _xlfn.NUMBERVALUE(Height) * 3/ 144) + ((_xlfn.NUMBERVALUE(Width)+_xlfn.NUMBERVALUE(Height)) * 2 * 0.4047462 * 0.1047691)) * 3) &gt; 152.15, "Error", (C13 / 2) + CONVERT(5.25 + 0.0625, "in","mm"))),
IF(_xlfn.NUMBERVALUE(Width) &lt;= 24.24,
               IF((((_xlfn.NUMBERVALUE(Width) * _xlfn.NUMBERVALUE(Height) * 3/ 144) + ((_xlfn.NUMBERVALUE(Width)+_xlfn.NUMBERVALUE(Height)) * 2 * 0.4047462 * 0.1047691)) * 3) &lt; 110.61, (C13 / 2) + CONVERT(8 + 0.0625, "in","mm"), IF((((_xlfn.NUMBERVALUE(Width) * _xlfn.NUMBERVALUE(Height) * 3/ 144) + ((_xlfn.NUMBERVALUE(Width)+_xlfn.NUMBERVALUE(Height)) * 2 * 0.4047462 * 0.1047691)) * 3) &gt; 231.84, "Error", (C13 / 2) + CONVERT(8 + 0.0625, "in","mm"))),
IF(_xlfn.NUMBERVALUE(Width) &lt;= 37.24,
               IF((((_xlfn.NUMBERVALUE(Width) * _xlfn.NUMBERVALUE(Height) * 3/ 144) + ((_xlfn.NUMBERVALUE(Width)+_xlfn.NUMBERVALUE(Height)) * 2 * 0.4047462 * 0.1047691)) * 3) &lt; 170, (C13 / 2) + CONVERT(10 + 0.0625, "in","mm"), IF((((_xlfn.NUMBERVALUE(Width) * _xlfn.NUMBERVALUE(Height) * 3/ 144) + ((_xlfn.NUMBERVALUE(Width)+_xlfn.NUMBERVALUE(Height)) * 2 * 0.4047462 * 0.1047691)) * 3) &gt; 327.8, "Error", (C13 / 2) + CONVERT(10 + 0.0625, "in","mm"))),
IF(_xlfn.NUMBERVALUE(Width) &lt;= 49.24,
               IF((((_xlfn.NUMBERVALUE(Width) * _xlfn.NUMBERVALUE(Height) * 3/ 144) + ((_xlfn.NUMBERVALUE(Width)+_xlfn.NUMBERVALUE(Height)) * 2 * 0.4047462 * 0.1047691)) * 3) &lt; 218.63, (C13 / 2) + CONVERT(16.5 + 0.0625, "in","mm"), IF((((_xlfn.NUMBERVALUE(Width) * _xlfn.NUMBERVALUE(Height) * 3/ 144) + ((_xlfn.NUMBERVALUE(Width)+_xlfn.NUMBERVALUE(Height)) * 2 * 0.4047462 * 0.1047691)) * 3) &gt; 408.87, "Error", (C13 / 2) + CONVERT(16.5 + 0.0625, "in","mm"))),
IF(_xlfn.NUMBERVALUE(Width) &lt;= 64.24,
               IF((((_xlfn.NUMBERVALUE(Width) * _xlfn.NUMBERVALUE(Height) * 3/ 144) + ((_xlfn.NUMBERVALUE(Width)+_xlfn.NUMBERVALUE(Height)) * 2 * 0.4047462 * 0.1047691)) * 3) &lt; 264.38, (C13 / 2) + CONVERT(22.5 + 0.0625, "in","mm"), IF((((_xlfn.NUMBERVALUE(Width) * _xlfn.NUMBERVALUE(Height) * 3/ 144) + ((_xlfn.NUMBERVALUE(Width)+_xlfn.NUMBERVALUE(Height)) * 2 * 0.4047462 * 0.1047691)) * 3) &gt; 467.55, "Error", (C13 / 2) + CONVERT(22.5 + 0.0625, "in","mm"))),
IF(AND(_xlfn.NUMBERVALUE(Width) = 78.25, _xlfn.NUMBERVALUE(Height) &gt; 61.25),
               "Error",
IF(_xlfn.NUMBERVALUE(Width) &lt;= 78.25, IF((((_xlfn.NUMBERVALUE(Width) * _xlfn.NUMBERVALUE(Height) * 3/ 144) + ((_xlfn.NUMBERVALUE(Width)+_xlfn.NUMBERVALUE(Height)) * 2 * 0.4047462 * 0.1047691)) * 3) &lt; 300, (C13 / 2) + CONVERT(30 + 0.0625, "in","mm"), IF((((_xlfn.NUMBERVALUE(Width) * _xlfn.NUMBERVALUE(Height) * 3/ 144) + ((_xlfn.NUMBERVALUE(Width)+_xlfn.NUMBERVALUE(Height)) * 2 * 0.4047462 * 0.1047691)) * 3) &gt; 540, "Error", (C13 / 2) + CONVERT(30 + 0.0625, "in","mm"))),
               "Error"))))))))</f>
        <v/>
      </c>
      <c r="F16" s="70" t="inlineStr">
        <is>
          <t>H3</t>
        </is>
      </c>
      <c r="G16" s="19">
        <f>IF(_xlfn.NUMBERVALUE(Width) &lt;= 14.75, "Error",
IF(_xlfn.NUMBERVALUE(Width) &lt;= 20.24,
               IF((((_xlfn.NUMBERVALUE(Width) * _xlfn.NUMBERVALUE(Height) * 3/ 144) + ((_xlfn.NUMBERVALUE(Width)+_xlfn.NUMBERVALUE(Height)) * 2 * 0.4047462 * 0.1047691)) * 3) &lt; 83.74, FIXED(261.84884917, 1), IF((((_xlfn.NUMBERVALUE(Width) * _xlfn.NUMBERVALUE(Height) * 3/ 144) + ((_xlfn.NUMBERVALUE(Width)+_xlfn.NUMBERVALUE(Height)) * 2 * 0.4047462 * 0.1047691)) * 3) &gt; 152.15, "Error", FIXED(427.32984917, 1))),
IF(_xlfn.NUMBERVALUE(Width) &lt;= 24.24,
               IF((((_xlfn.NUMBERVALUE(Width) * _xlfn.NUMBERVALUE(Height) * 3/ 144) + ((_xlfn.NUMBERVALUE(Width)+_xlfn.NUMBERVALUE(Height)) * 2 * 0.4047462 * 0.1047691)) * 3) &lt; 110.61, FIXED(234.86134917, 1), IF((((_xlfn.NUMBERVALUE(Width) * _xlfn.NUMBERVALUE(Height) * 3/ 144) + ((_xlfn.NUMBERVALUE(Width)+_xlfn.NUMBERVALUE(Height)) * 2 * 0.4047462 * 0.1047691)) * 3) &gt; 231.84, "Error", FIXED(427.33492917, 1))),
IF(_xlfn.NUMBERVALUE(Width) &lt;= 37.24,
               IF((((_xlfn.NUMBERVALUE(Width) * _xlfn.NUMBERVALUE(Height) * 3/ 144) + ((_xlfn.NUMBERVALUE(Width)+_xlfn.NUMBERVALUE(Height)) * 2 * 0.4047462 * 0.1047691)) * 3) &lt; 170, FIXED(265.02384917, 1), IF((((_xlfn.NUMBERVALUE(Width) * _xlfn.NUMBERVALUE(Height) * 3/ 144) + ((_xlfn.NUMBERVALUE(Width)+_xlfn.NUMBERVALUE(Height)) * 2 * 0.4047462 * 0.1047691)) * 3) &gt; 327.8, "Error", FIXED(465.43492917, 1))),
IF(_xlfn.NUMBERVALUE(Width) &lt;= 49.24,
               IF((((_xlfn.NUMBERVALUE(Width) * _xlfn.NUMBERVALUE(Height) * 3/ 144) + ((_xlfn.NUMBERVALUE(Width)+_xlfn.NUMBERVALUE(Height)) * 2 * 0.4047462 * 0.1047691)) * 3) &lt; 218.63, FIXED(217.39884917, 1), IF((((_xlfn.NUMBERVALUE(Width) * _xlfn.NUMBERVALUE(Height) * 3/ 144) + ((_xlfn.NUMBERVALUE(Width)+_xlfn.NUMBERVALUE(Height)) * 2 * 0.4047462 * 0.1047691)) * 3) &gt; 408.87, "Error", FIXED(363.83492917, 1))),
IF(_xlfn.NUMBERVALUE(Width) &lt;= 64.24,
               IF((((_xlfn.NUMBERVALUE(Width) * _xlfn.NUMBERVALUE(Height) * 3/ 144) + ((_xlfn.NUMBERVALUE(Width)+_xlfn.NUMBERVALUE(Height)) * 2 * 0.4047462 * 0.1047691)) * 3) &lt; 264.38, FIXED(198.34884917, 1), IF((((_xlfn.NUMBERVALUE(Width) * _xlfn.NUMBERVALUE(Height) * 3/ 144) + ((_xlfn.NUMBERVALUE(Width)+_xlfn.NUMBERVALUE(Height)) * 2 * 0.4047462 * 0.1047691)) * 3) &gt; 467.55, "Error", FIXED(313.03492917, 1))),
IF(AND(_xlfn.NUMBERVALUE(Width) = 78.25, _xlfn.NUMBERVALUE(Height) &gt; 61.25),
               "Error",
IF(_xlfn.NUMBERVALUE(Width) &lt;= 78.25, IF((((_xlfn.NUMBERVALUE(Width) * _xlfn.NUMBERVALUE(Height) * 3/ 144) + ((_xlfn.NUMBERVALUE(Width)+_xlfn.NUMBERVALUE(Height)) * 2 * 0.4047462 * 0.1047691)) * 3) &lt; 300, FIXED(176.12384917, 1), IF((((_xlfn.NUMBERVALUE(Width) * _xlfn.NUMBERVALUE(Height) * 3/ 144) + ((_xlfn.NUMBERVALUE(Width)+_xlfn.NUMBERVALUE(Height)) * 2 * 0.4047462 * 0.1047691)) * 3) &gt; 540, "Error", FIXED(277.72384917, 1))),
               "Error"))))))))</f>
        <v/>
      </c>
      <c r="H16" s="70" t="inlineStr">
        <is>
          <t>DIM HA</t>
        </is>
      </c>
      <c r="I16" s="21">
        <f>IF(_xlfn.NUMBERVALUE(Width) &lt;= 14.75, "Error",
IF(_xlfn.NUMBERVALUE(Width) &lt;= 20.24,
               IF((((_xlfn.NUMBERVALUE(Width) * _xlfn.NUMBERVALUE(Height) * 3/ 144) + ((_xlfn.NUMBERVALUE(Width)+_xlfn.NUMBERVALUE(Height)) * 2 * 0.4047462 * 0.1047691)) * 3) &lt; 83.74, (C13 / 2) - CONVERT(5.25, "in","mm"), IF((((_xlfn.NUMBERVALUE(Width) * _xlfn.NUMBERVALUE(Height) * 3/ 144) + ((_xlfn.NUMBERVALUE(Width)+_xlfn.NUMBERVALUE(Height)) * 2 * 0.4047462 * 0.1047691)) * 3) &gt; 152.15, "Error", (C13 / 2) - CONVERT(5.25, "in","mm"))),
IF(_xlfn.NUMBERVALUE(Width) &lt;= 24.24,
               IF((((_xlfn.NUMBERVALUE(Width) * _xlfn.NUMBERVALUE(Height) * 3/ 144) + ((_xlfn.NUMBERVALUE(Width)+_xlfn.NUMBERVALUE(Height)) * 2 * 0.4047462 * 0.1047691)) * 3) &lt; 110.61, (C13 / 2) - CONVERT(8, "in","mm"), IF((((_xlfn.NUMBERVALUE(Width) * _xlfn.NUMBERVALUE(Height) * 3/ 144) + ((_xlfn.NUMBERVALUE(Width)+_xlfn.NUMBERVALUE(Height)) * 2 * 0.4047462 * 0.1047691)) * 3) &gt; 231.84, "Error", (C13 / 2) - CONVERT(8, "in","mm"))),
IF(_xlfn.NUMBERVALUE(Width) &lt;= 37.24,
               IF((((_xlfn.NUMBERVALUE(Width) * _xlfn.NUMBERVALUE(Height) * 3/ 144) + ((_xlfn.NUMBERVALUE(Width)+_xlfn.NUMBERVALUE(Height)) * 2 * 0.4047462 * 0.1047691)) * 3) &lt; 170, (C13 / 2) - CONVERT(10, "in","mm"), IF((((_xlfn.NUMBERVALUE(Width) * _xlfn.NUMBERVALUE(Height) * 3/ 144) + ((_xlfn.NUMBERVALUE(Width)+_xlfn.NUMBERVALUE(Height)) * 2 * 0.4047462 * 0.1047691)) * 3) &gt; 327.8, "Error", (C13 / 2) - CONVERT(10, "in","mm"))),
IF(_xlfn.NUMBERVALUE(Width) &lt;= 49.24,
               IF((((_xlfn.NUMBERVALUE(Width) * _xlfn.NUMBERVALUE(Height) * 3/ 144) + ((_xlfn.NUMBERVALUE(Width)+_xlfn.NUMBERVALUE(Height)) * 2 * 0.4047462 * 0.1047691)) * 3) &lt; 218.63, (C13 / 2) - CONVERT(16.5, "in","mm"), IF((((_xlfn.NUMBERVALUE(Width) * _xlfn.NUMBERVALUE(Height) * 3/ 144) + ((_xlfn.NUMBERVALUE(Width)+_xlfn.NUMBERVALUE(Height)) * 2 * 0.4047462 * 0.1047691)) * 3) &gt; 408.87, "Error", (C13 / 2) - CONVERT(16.5, "in","mm"))),
IF(_xlfn.NUMBERVALUE(Width) &lt;= 64.24,
               IF((((_xlfn.NUMBERVALUE(Width) * _xlfn.NUMBERVALUE(Height) * 3/ 144) + ((_xlfn.NUMBERVALUE(Width)+_xlfn.NUMBERVALUE(Height)) * 2 * 0.4047462 * 0.1047691)) * 3) &lt; 264.38, (C13 / 2) - CONVERT(22.5, "in","mm"), IF((((_xlfn.NUMBERVALUE(Width) * _xlfn.NUMBERVALUE(Height) * 3/ 144) + ((_xlfn.NUMBERVALUE(Width)+_xlfn.NUMBERVALUE(Height)) * 2 * 0.4047462 * 0.1047691)) * 3) &gt; 467.55, "Error", (C13 / 2) - CONVERT(22.5, "in","mm"))),
IF(AND(_xlfn.NUMBERVALUE(Width) = 78.25, _xlfn.NUMBERVALUE(Height) &gt; 61.25),
               "Error",
IF(_xlfn.NUMBERVALUE(Width) &lt;= 78.25, IF((((_xlfn.NUMBERVALUE(Width) * _xlfn.NUMBERVALUE(Height) * 3/ 144) + ((_xlfn.NUMBERVALUE(Width)+_xlfn.NUMBERVALUE(Height)) * 2 * 0.4047462 * 0.1047691)) * 3) &lt; 300, (C13 / 2) - CONVERT(30, "in","mm"), IF((((_xlfn.NUMBERVALUE(Width) * _xlfn.NUMBERVALUE(Height) * 3/ 144) + ((_xlfn.NUMBERVALUE(Width)+_xlfn.NUMBERVALUE(Height)) * 2 * 0.4047462 * 0.1047691)) * 3) &gt; 540, "Error", (C13 / 2) - CONVERT(30, "in","mm"))),
               "Error"))))))))</f>
        <v/>
      </c>
      <c r="J16" s="30">
        <f>FIXED(IF(_xlfn.NUMBERVALUE(Width) &lt; 30, 56.7, 120.2), 1)</f>
        <v/>
      </c>
    </row>
    <row r="17" ht="15" customHeight="1" s="52">
      <c r="B17" s="72" t="n"/>
      <c r="C17" s="18">
        <f>ROUND(CONVERT(C16, "mm", "in") * 16, 0) / 16</f>
        <v/>
      </c>
      <c r="D17" s="72" t="n"/>
      <c r="E17" s="18">
        <f>ROUND(CONVERT(E16, "mm", "in") * 16, 0) / 16</f>
        <v/>
      </c>
      <c r="F17" s="72" t="n"/>
      <c r="G17" s="18">
        <f>ROUND(CONVERT(G16, "mm", "in") * 16, 0) / 16</f>
        <v/>
      </c>
      <c r="H17" s="72" t="n"/>
      <c r="I17" s="22">
        <f>ROUND(CONVERT(I16, "mm", "in") * 16, 0) / 16</f>
        <v/>
      </c>
      <c r="J17" s="18">
        <f>ROUND(CONVERT(J16, "mm", "in") * 16, 0) / 16</f>
        <v/>
      </c>
    </row>
    <row r="18" ht="9" customHeight="1" s="52">
      <c r="C18" s="16" t="n"/>
      <c r="D18" s="7" t="n"/>
      <c r="E18" s="16" t="n"/>
      <c r="F18" s="7" t="n"/>
      <c r="G18" s="16" t="n"/>
      <c r="H18" s="7" t="n"/>
      <c r="I18" s="17" t="n"/>
    </row>
    <row r="19" ht="15" customHeight="1" s="52">
      <c r="B19" s="73" t="inlineStr">
        <is>
          <t>Keen Placement Dimensions</t>
        </is>
      </c>
      <c r="C19" s="74" t="n"/>
      <c r="D19" s="74" t="n"/>
      <c r="E19" s="74" t="n"/>
      <c r="F19" s="74" t="n"/>
      <c r="G19" s="75" t="n"/>
      <c r="H19" s="38" t="inlineStr">
        <is>
          <t>DIM K</t>
        </is>
      </c>
      <c r="I19" s="19">
        <f>IF(COUNT(SEARCH({"KCL","KDL","KGL","KHL","KYL"},CPN)),
 ROUND(C13-CONVERT(3.2323,"in","mm"),1),
 IF(COUNT(SEARCH({"KCR","KDR","KGR","KHR","KYR"},CPN)),
  ROUND(CONVERT(3.2323,"in","mm"),1),
  IF(COUNT(SEARCH({"KC","KD","KG","KH","KY"},CPN)),
   ROUND(C13/2,1),
   "N/A")))</f>
        <v/>
      </c>
    </row>
    <row r="20" ht="15" customHeight="1" s="52">
      <c r="B20" s="76" t="n"/>
      <c r="G20" s="77" t="n"/>
      <c r="H20" s="78" t="n"/>
      <c r="I20" s="20">
        <f>IF(COUNT(SEARCH({"KC","KD","KG","KH","KY"}, CPN)), ROUND(CONVERT(I19, "mm", "in") * 16, 0) / 16,"N/A")</f>
        <v/>
      </c>
    </row>
    <row r="21">
      <c r="B21" s="70" t="inlineStr">
        <is>
          <t>KX1</t>
        </is>
      </c>
      <c r="C21" s="19">
        <f>IF(COUNT(SEARCH({"KC","KD","KG","KH","KY"}, CPN)), ROUND(I19 - CONVERT(0.8125, "in", "mm"), 1), "N/A")</f>
        <v/>
      </c>
      <c r="D21" s="70" t="inlineStr">
        <is>
          <t>KX2</t>
        </is>
      </c>
      <c r="E21" s="19">
        <f>IF(COUNT(SEARCH({"KC","KD","KG","KH","KY"}, CPN)), ROUND(I19 + CONVERT(0.8125, "in", "mm"), 1), "N/A")</f>
        <v/>
      </c>
      <c r="F21" s="70" t="inlineStr">
        <is>
          <t>KY3</t>
        </is>
      </c>
      <c r="G21" s="19">
        <f>IF(COUNT(SEARCH({"KC","KD","KG","KH","KY"}, CPN)), FIXED(E13 - CONVERT(3.5098, "in","mm"), 1), "N/A")</f>
        <v/>
      </c>
      <c r="H21" s="70" t="inlineStr">
        <is>
          <t>KY4</t>
        </is>
      </c>
      <c r="I21" s="19">
        <f>IF(COUNT(SEARCH({"KC","KD","KG","KH","KY"}, CPN)), FIXED(E13 - CONVERT(2.0098, "in","mm"), 1), "N/A")</f>
        <v/>
      </c>
    </row>
    <row r="22">
      <c r="B22" s="72" t="n"/>
      <c r="C22" s="18">
        <f>IF(COUNT(SEARCH({"KC","KD","KG","KH","KY"}, CPN)), ROUND(CONVERT(C21, "mm", "in") * 16, 0) / 16, "N/A")</f>
        <v/>
      </c>
      <c r="D22" s="72" t="n"/>
      <c r="E22" s="18">
        <f>IF(COUNT(SEARCH({"KC","KD","KG","KH","KY"}, CPN)), ROUND(CONVERT(E21, "mm", "in") * 16, 0) / 16, "N/A")</f>
        <v/>
      </c>
      <c r="F22" s="72" t="n"/>
      <c r="G22" s="18">
        <f>IF(COUNT(SEARCH({"KC","KD","KG","KH","KY"}, CPN)),  ROUND(CONVERT(G21, "mm", "in") * 16, 0) / 16, "N/A")</f>
        <v/>
      </c>
      <c r="H22" s="72" t="n"/>
      <c r="I22" s="18">
        <f>IF(COUNT(SEARCH({"KC","KD","KG","KH","KY"}, CPN)), ROUND(CONVERT(I21, "mm", "in") * 16, 0) / 16, "N/A")</f>
        <v/>
      </c>
    </row>
    <row r="23" ht="9" customHeight="1" s="52">
      <c r="C23" s="16" t="n"/>
      <c r="D23" s="7" t="n"/>
      <c r="E23" s="16" t="n"/>
      <c r="F23" s="7" t="n"/>
      <c r="G23" s="16" t="n"/>
      <c r="H23" s="7" t="n"/>
      <c r="I23" s="17" t="n"/>
      <c r="K23" s="15" t="n"/>
    </row>
    <row r="24" ht="15" customHeight="1" s="52">
      <c r="B24" s="79" t="inlineStr">
        <is>
          <t>Clock Placement Dimensions</t>
        </is>
      </c>
      <c r="C24" s="74" t="n"/>
      <c r="D24" s="74" t="n"/>
      <c r="E24" s="74" t="n"/>
      <c r="F24" s="74" t="n"/>
      <c r="G24" s="75" t="n"/>
      <c r="H24" s="70" t="inlineStr">
        <is>
          <t>DIM CK</t>
        </is>
      </c>
      <c r="I24" s="21">
        <f>IF(COUNT(SEARCH({"CKL"}, CPN)),
 ROUND(C13 - CONVERT(5.0506,"in","mm"), 1),
 IF(COUNT(SEARCH({"CKC"}, CPN)),
  ROUND(C13 / 2, 1),
  IF(COUNT(SEARCH({"CK"}, CPN)),
   ROUND(CONVERT(5.0506,"in","mm"), 1),
   "N/A")))</f>
        <v/>
      </c>
      <c r="K24" s="15" t="n"/>
      <c r="Q24" s="28" t="n"/>
    </row>
    <row r="25" ht="15" customHeight="1" s="52">
      <c r="B25" s="80" t="n"/>
      <c r="C25" s="67" t="n"/>
      <c r="D25" s="67" t="n"/>
      <c r="E25" s="67" t="n"/>
      <c r="F25" s="67" t="n"/>
      <c r="G25" s="81" t="n"/>
      <c r="H25" s="72" t="n"/>
      <c r="I25" s="18">
        <f>IF(COUNT(SEARCH({"CK"}, CPN)), ROUND((CONVERT(I24,"mm", "in")) * 16, 0) / 16, "N/A")</f>
        <v/>
      </c>
      <c r="K25" s="15" t="n"/>
      <c r="Q25" s="28" t="n"/>
    </row>
    <row r="26" ht="15" customHeight="1" s="52">
      <c r="B26" s="70" t="inlineStr">
        <is>
          <t>CKX1</t>
        </is>
      </c>
      <c r="C26" s="19">
        <f>IF(OR(COUNT(SEARCH({"CKL"}, CPN)), COUNT(SEARCH({"CKL"}, CPN))),
 ROUND(C13 - CONVERT(8.54331299,"in","mm"), 1),
 IF(OR(COUNT(SEARCH({"CKC"}, CPN)), COUNT(SEARCH({"CKC"}, CPN))),
  ROUND((C13 / 2) - CONVERT(3.311, "in", "mm"), 1),
  IF(OR(COUNT(SEARCH({"CK"}, CPN)), COUNT(SEARCH({"CK"}, CPN))),
   ROUND(CONVERT(1.92131299,"in","mm"), 1),
   "N/A")))</f>
        <v/>
      </c>
      <c r="D26" s="70" t="inlineStr">
        <is>
          <t>CKX2</t>
        </is>
      </c>
      <c r="E26" s="19">
        <f>IF(OR(COUNT(SEARCH({"CKL"}, CPN)), COUNT(SEARCH({"CKL"}, CPN))),
 ROUND(C13 - CONVERT(3.37331299,"in","mm"), 1),
 IF(OR(COUNT(SEARCH({"CKC"}, CPN)), COUNT(SEARCH({"CKC"}, CPN))),
  ROUND((C13 / 2) + CONVERT(1.859, "in", "mm"), 1),
  IF(OR(COUNT(SEARCH({"CK"}, CPN)), COUNT(SEARCH({"CK"}, CPN))),
   ROUND(CONVERT(7.09131299,"in","mm"), 1),
   "N/A")))</f>
        <v/>
      </c>
      <c r="F26" s="70" t="inlineStr">
        <is>
          <t>CKY3</t>
        </is>
      </c>
      <c r="G26" s="19">
        <f>IF(COUNT(SEARCH({"CK"}, CPN)), FIXED(E13 - CONVERT(3.176, "in","mm"), 1), "N/A")</f>
        <v/>
      </c>
      <c r="H26" s="70" t="inlineStr">
        <is>
          <t>CKY4</t>
        </is>
      </c>
      <c r="I26" s="19">
        <f>IF(COUNT(SEARCH({"CK"}, CPN)), FIXED(E13 - CONVERT(1.863, "in","mm"), 1), "N/A")</f>
        <v/>
      </c>
      <c r="K26" s="15" t="n"/>
      <c r="Q26" s="28" t="n"/>
    </row>
    <row r="27" ht="15" customHeight="1" s="52">
      <c r="B27" s="72" t="n"/>
      <c r="C27" s="18">
        <f>IF(COUNT(SEARCH({"CK"}, CPN)), ROUND(CONVERT(C26, "mm", "in") * 16, 0) / 16, "N/A")</f>
        <v/>
      </c>
      <c r="D27" s="72" t="n"/>
      <c r="E27" s="18">
        <f>IF(COUNT(SEARCH({"CK"}, CPN)), ROUND(CONVERT(E26, "mm", "in") * 16, 0) / 16, "N/A")</f>
        <v/>
      </c>
      <c r="F27" s="72" t="n"/>
      <c r="G27" s="18">
        <f>IF(COUNT(SEARCH({"CK"}, CPN)), ROUND(CONVERT(G26, "mm", "in") * 16, 0) / 16, "N/A")</f>
        <v/>
      </c>
      <c r="H27" s="72" t="n"/>
      <c r="I27" s="18">
        <f>IF(COUNT(SEARCH({"CK"}, CPN)), ROUND(CONVERT(I26, "mm", "in") * 16, 0) / 16, "N/A")</f>
        <v/>
      </c>
      <c r="K27" s="15" t="n"/>
      <c r="Q27" s="28" t="n"/>
    </row>
    <row r="28" ht="9" customHeight="1" s="52">
      <c r="C28" s="16" t="n"/>
      <c r="D28" s="7" t="n"/>
      <c r="E28" s="16" t="n"/>
      <c r="F28" s="7" t="n"/>
      <c r="G28" s="16" t="n"/>
      <c r="H28" s="7" t="n"/>
      <c r="I28" s="17" t="n"/>
      <c r="K28" s="15" t="n"/>
      <c r="Q28" s="28" t="n"/>
    </row>
    <row r="29" ht="24.75" customHeight="1" s="52">
      <c r="A29" s="9" t="inlineStr">
        <is>
          <t>ITEM NO.</t>
        </is>
      </c>
      <c r="B29" s="9" t="inlineStr">
        <is>
          <t>NUMBER</t>
        </is>
      </c>
      <c r="C29" s="69" t="n"/>
      <c r="D29" s="9" t="inlineStr">
        <is>
          <t>DESCRIPTION</t>
        </is>
      </c>
      <c r="E29" s="68" t="n"/>
      <c r="F29" s="68" t="n"/>
      <c r="G29" s="68" t="n"/>
      <c r="H29" s="69" t="n"/>
      <c r="I29" s="9" t="inlineStr">
        <is>
          <t>QTY.</t>
        </is>
      </c>
      <c r="J29" s="10" t="inlineStr">
        <is>
          <t>UoM</t>
        </is>
      </c>
      <c r="Q29" s="28" t="n"/>
    </row>
    <row r="30" ht="14.45" customHeight="1" s="52">
      <c r="A30" s="9" t="n">
        <v>1</v>
      </c>
      <c r="B30" s="9" t="n">
        <v>63000</v>
      </c>
      <c r="C30" s="69" t="n"/>
      <c r="D30" s="82" t="inlineStr">
        <is>
          <t>MIRROR</t>
        </is>
      </c>
      <c r="E30" s="68" t="n"/>
      <c r="F30" s="68" t="n"/>
      <c r="G30" s="68" t="n"/>
      <c r="H30" s="69" t="n"/>
      <c r="I30" s="14">
        <f>C14 * E14 / 144</f>
        <v/>
      </c>
      <c r="J30" s="10" t="inlineStr">
        <is>
          <t>SQ FT</t>
        </is>
      </c>
      <c r="Q30" s="28" t="n"/>
    </row>
    <row r="31" ht="14.45" customHeight="1" s="52">
      <c r="A31" s="9" t="n">
        <v>2</v>
      </c>
      <c r="B31" s="9">
        <f>IF(_xlfn.NUMBERVALUE(Width) &lt;= 14.75, "Error",
IF(_xlfn.NUMBERVALUE(Width) &lt;= 20.24,
               IF((((_xlfn.NUMBERVALUE(Width) * _xlfn.NUMBERVALUE(Height) * 3/ 144) + ((_xlfn.NUMBERVALUE(Width)+_xlfn.NUMBERVALUE(Height)) * 2 * 0.4047462 * 0.1047691)) * 3) &lt; 83.74, "80410", IF((((_xlfn.NUMBERVALUE(Width) * _xlfn.NUMBERVALUE(Height) * 3/ 144) + ((_xlfn.NUMBERVALUE(Width)+_xlfn.NUMBERVALUE(Height)) * 2 * 0.4047462 * 0.1047691)) * 3) &gt; 152.15, "Error", "80411")),
IF(_xlfn.NUMBERVALUE(Width) &lt;= 24.24,
               IF((((_xlfn.NUMBERVALUE(Width) * _xlfn.NUMBERVALUE(Height) * 3/ 144) + ((_xlfn.NUMBERVALUE(Width)+_xlfn.NUMBERVALUE(Height)) * 2 * 0.4047462 * 0.1047691)) * 3) &lt; 110.61, "80420", IF((((_xlfn.NUMBERVALUE(Width) * _xlfn.NUMBERVALUE(Height) * 3/ 144) + ((_xlfn.NUMBERVALUE(Width)+_xlfn.NUMBERVALUE(Height)) * 2 * 0.4047462 * 0.1047691)) * 3) &gt; 231.84, "Error", "80421")),
IF(_xlfn.NUMBERVALUE(Width) &lt;= 37.24,
               IF((((_xlfn.NUMBERVALUE(Width) * _xlfn.NUMBERVALUE(Height) * 3/ 144) + ((_xlfn.NUMBERVALUE(Width)+_xlfn.NUMBERVALUE(Height)) * 2 * 0.4047462 * 0.1047691)) * 3) &lt; 170, "80430", IF((((_xlfn.NUMBERVALUE(Width) * _xlfn.NUMBERVALUE(Height) * 3/ 144) + ((_xlfn.NUMBERVALUE(Width)+_xlfn.NUMBERVALUE(Height)) * 2 * 0.4047462 * 0.1047691)) * 3) &gt; 327.8, "Error", "80431")),
IF(_xlfn.NUMBERVALUE(Width) &lt;= 49.24,
               IF((((_xlfn.NUMBERVALUE(Width) * _xlfn.NUMBERVALUE(Height) * 3/ 144) + ((_xlfn.NUMBERVALUE(Width)+_xlfn.NUMBERVALUE(Height)) * 2 * 0.4047462 * 0.1047691)) * 3) &lt; 218.63, "80440", IF((((_xlfn.NUMBERVALUE(Width) * _xlfn.NUMBERVALUE(Height) * 3/ 144) + ((_xlfn.NUMBERVALUE(Width)+_xlfn.NUMBERVALUE(Height)) * 2 * 0.4047462 * 0.1047691)) * 3) &gt; 408.87, "Error", "80441")),
IF(_xlfn.NUMBERVALUE(Width) &lt;= 64.24,
               IF((((_xlfn.NUMBERVALUE(Width) * _xlfn.NUMBERVALUE(Height) * 3/ 144) + ((_xlfn.NUMBERVALUE(Width)+_xlfn.NUMBERVALUE(Height)) * 2 * 0.4047462 * 0.1047691)) * 3) &lt; 264.38, "80450", IF((((_xlfn.NUMBERVALUE(Width) * _xlfn.NUMBERVALUE(Height) * 3/ 144) + ((_xlfn.NUMBERVALUE(Width)+_xlfn.NUMBERVALUE(Height)) * 2 * 0.4047462 * 0.1047691)) * 3) &gt; 467.55, "Error", "80451")),
IF(AND(_xlfn.NUMBERVALUE(Width) = 78.25, _xlfn.NUMBERVALUE(Height) &gt; 61.25),
               "Error",
IF(_xlfn.NUMBERVALUE(Width) &lt;= 78.25, IF((((_xlfn.NUMBERVALUE(Width) * _xlfn.NUMBERVALUE(Height) * 3/ 144) + ((_xlfn.NUMBERVALUE(Width)+_xlfn.NUMBERVALUE(Height)) * 2 * 0.4047462 * 0.1047691)) * 3) &lt; 300, "80460", IF((((_xlfn.NUMBERVALUE(Width) * _xlfn.NUMBERVALUE(Height) * 3/ 144) + ((_xlfn.NUMBERVALUE(Width)+_xlfn.NUMBERVALUE(Height)) * 2 * 0.4047462 * 0.1047691)) * 3) &gt; 540, "Error", "80461")),
               "Error"))))))))</f>
        <v/>
      </c>
      <c r="C31" s="69" t="n"/>
      <c r="D31" s="82" t="inlineStr">
        <is>
          <t>MIRROR HANGER, 18GA-EG</t>
        </is>
      </c>
      <c r="E31" s="68" t="n"/>
      <c r="F31" s="68" t="n"/>
      <c r="G31" s="68" t="n"/>
      <c r="H31" s="69" t="n"/>
      <c r="I31" s="9" t="n">
        <v>1</v>
      </c>
      <c r="J31" s="10">
        <f>IF(I31 = "","","EA")</f>
        <v/>
      </c>
      <c r="Q31" s="28" t="n"/>
    </row>
    <row r="32" ht="14.45" customHeight="1" s="52">
      <c r="A32" s="9" t="n">
        <v>3</v>
      </c>
      <c r="B32" s="9" t="inlineStr">
        <is>
          <t>70142-1</t>
        </is>
      </c>
      <c r="C32" s="69" t="n"/>
      <c r="D32" s="82" t="inlineStr">
        <is>
          <t>MAGNET W-VHB</t>
        </is>
      </c>
      <c r="E32" s="68" t="n"/>
      <c r="F32" s="68" t="n"/>
      <c r="G32" s="68" t="n"/>
      <c r="H32" s="69" t="n"/>
      <c r="I32" s="9" t="n">
        <v>2</v>
      </c>
      <c r="J32" s="10">
        <f>IF(I32 = "","","EA")</f>
        <v/>
      </c>
      <c r="Q32" s="28" t="n"/>
    </row>
    <row r="33" ht="14.45" customHeight="1" s="52">
      <c r="A33" s="9" t="n">
        <v>4</v>
      </c>
      <c r="B33" s="83">
        <f>"72239-"&amp;Finish&amp;"-"&amp;TEXT(ROUND(Height,2),"0.00")&amp;"-N"</f>
        <v/>
      </c>
      <c r="C33" s="69" t="n"/>
      <c r="D33" s="82" t="inlineStr">
        <is>
          <t>ASM, EXTRUSION, RAD3, W-DIFFUSER-NOTCH</t>
        </is>
      </c>
      <c r="E33" s="68" t="n"/>
      <c r="F33" s="68" t="n"/>
      <c r="G33" s="68" t="n"/>
      <c r="H33" s="69" t="n"/>
      <c r="I33" s="9" t="n">
        <v>1</v>
      </c>
      <c r="J33" s="10">
        <f>IF(I33 = "","","EA")</f>
        <v/>
      </c>
      <c r="Q33" s="28" t="n"/>
    </row>
    <row r="34" ht="14.45" customHeight="1" s="52">
      <c r="A34" s="9" t="n">
        <v>5</v>
      </c>
      <c r="B34" s="83">
        <f>"72239-" &amp; Finish &amp;"-" &amp; TEXT(ROUND(Height, 2), "0.00")</f>
        <v/>
      </c>
      <c r="C34" s="69" t="n"/>
      <c r="D34" s="82" t="inlineStr">
        <is>
          <t>ASM, EXTRUSION, RAD3, W-DIFFUSER</t>
        </is>
      </c>
      <c r="E34" s="68" t="n"/>
      <c r="F34" s="68" t="n"/>
      <c r="G34" s="68" t="n"/>
      <c r="H34" s="69" t="n"/>
      <c r="I34" s="9" t="n">
        <v>1</v>
      </c>
      <c r="J34" s="10">
        <f>IF(I34 = "","","EA")</f>
        <v/>
      </c>
      <c r="Q34" s="28" t="n"/>
    </row>
    <row r="35" ht="14.45" customHeight="1" s="52">
      <c r="A35" s="9" t="n">
        <v>6</v>
      </c>
      <c r="B35" s="83">
        <f>"72239-" &amp; Finish &amp;"-" &amp; TEXT(ROUND(Width, 2), "0.00")</f>
        <v/>
      </c>
      <c r="C35" s="69" t="n"/>
      <c r="D35" s="82" t="inlineStr">
        <is>
          <t>ASM, EXTRUSION, RAD3, W-DIFFUSER</t>
        </is>
      </c>
      <c r="E35" s="68" t="n"/>
      <c r="F35" s="68" t="n"/>
      <c r="G35" s="68" t="n"/>
      <c r="H35" s="69" t="n"/>
      <c r="I35" s="9" t="n">
        <v>2</v>
      </c>
      <c r="J35" s="10">
        <f>IF(I35 = "","","EA")</f>
        <v/>
      </c>
      <c r="Q35" s="28" t="n"/>
    </row>
    <row r="36" ht="14.45" customHeight="1" s="52">
      <c r="A36" s="9" t="n">
        <v>7</v>
      </c>
      <c r="B36" s="9">
        <f>IF(COUNT(SEARCH({"SO"}, CPN)), "56774-RAD4-" &amp; CEILING((CONVERT(Width, "in", "mm") - 37.11842712) + (CONVERT(Height, "in", "mm") - 37.11842712) + (CONVERT(Width, "in", "mm") - 37.11842712) + (CONVERT(Height, "in", "mm") - 37.11842712) + (14.96183501 + 16.95674635 + 14.96183501 + 14.96183501), 50), IF(CEILING((CONVERT(Width, "in", "mm") - 37.11842712) + (CONVERT(Height, "in", "mm") - 37.11842712) + (CONVERT(Width, "in", "mm") - 37.11842712) + (CONVERT(Height, "in", "mm") - 37.11842712) + (14.96183501 + 16.95674635 + 14.96183501 + 14.96183501), 50) &gt; 5000, "81073", "65413") &amp; "-RAD4-" &amp; CEILING((CONVERT(Width, "in", "mm") - 37.11842712) + (CONVERT(Height, "in", "mm") - 37.11842712) + (CONVERT(Width, "in", "mm") - 37.11842712) + (CONVERT(Height, "in", "mm") - 37.11842712) + (14.96183501 + 16.95674635 + 14.96183501 + 14.96183501), 50)) &amp;"MM"</f>
        <v/>
      </c>
      <c r="C36" s="69" t="n"/>
      <c r="D36" s="82" t="inlineStr">
        <is>
          <t>ASM, LED, RAD4-LENGTH-MM</t>
        </is>
      </c>
      <c r="E36" s="68" t="n"/>
      <c r="F36" s="68" t="n"/>
      <c r="G36" s="68" t="n"/>
      <c r="H36" s="69" t="n"/>
      <c r="I36" s="9" t="n">
        <v>1</v>
      </c>
      <c r="J36" s="10">
        <f>IF(I36 = "","","EA")</f>
        <v/>
      </c>
    </row>
    <row r="37" ht="14.45" customHeight="1" s="52">
      <c r="A37" s="9" t="n">
        <v>8</v>
      </c>
      <c r="B37" s="9" t="n">
        <v>72005</v>
      </c>
      <c r="C37" s="69" t="n"/>
      <c r="D37" s="82" t="inlineStr">
        <is>
          <t>CORNER KEY, 7500</t>
        </is>
      </c>
      <c r="E37" s="68" t="n"/>
      <c r="F37" s="68" t="n"/>
      <c r="G37" s="68" t="n"/>
      <c r="H37" s="69" t="n"/>
      <c r="I37" s="9" t="n">
        <v>4</v>
      </c>
      <c r="J37" s="10">
        <f>IF(I37 = "","","EA")</f>
        <v/>
      </c>
      <c r="Q37" s="28" t="n"/>
    </row>
    <row r="38" ht="13.5" customHeight="1" s="52">
      <c r="A38" s="9" t="n">
        <v>9</v>
      </c>
      <c r="B38" s="9">
        <f>IF(OR(Width &gt;= 60, Height &gt;= 60), 81201, "")</f>
        <v/>
      </c>
      <c r="C38" s="69" t="n"/>
      <c r="D38" s="82">
        <f>IF(OR(Width &gt;= 60, Height &gt;= 60), "BRACKET, RAD2, RETAINER, 18GA-EG, VHB", "")</f>
        <v/>
      </c>
      <c r="E38" s="68" t="n"/>
      <c r="F38" s="68" t="n"/>
      <c r="G38" s="68" t="n"/>
      <c r="H38" s="69" t="n"/>
      <c r="I38" s="9">
        <f>IF(OR(C12 &gt;= 60, E12 &gt;= 60), IF(C12 &lt; 60, 0, IF(AND(C12 &gt;= 60, C12 &lt;= 72), 2, 4)) +  IF(E12 &lt; 60, 0, IF(AND(E12 &gt;= 60, E12 &lt;= 72), 2, 4)), "")</f>
        <v/>
      </c>
      <c r="J38" s="10">
        <f>IF(I38 = "","","EA")</f>
        <v/>
      </c>
    </row>
    <row r="39" ht="14.45" customHeight="1" s="52">
      <c r="A39" s="9" t="n">
        <v>10</v>
      </c>
      <c r="B39" s="9" t="n">
        <v>75112</v>
      </c>
      <c r="C39" s="69" t="n"/>
      <c r="D39" s="82" t="inlineStr">
        <is>
          <t>BRACKET, RAD2, RETAINER, 18GA-EG, VHB</t>
        </is>
      </c>
      <c r="E39" s="68" t="n"/>
      <c r="F39" s="68" t="n"/>
      <c r="G39" s="68" t="n"/>
      <c r="H39" s="69" t="n"/>
      <c r="I39" s="9">
        <f>(IF(C12 &lt; 48, 2,
IF(C12 &lt; 60, 3, 4)) * 2)
+
(IF(E12 &lt; 48, 2,
IF(E12 &lt; 60, 3, 4)) * 2)</f>
        <v/>
      </c>
      <c r="J39" s="10">
        <f>IF(I39 = "","","EA")</f>
        <v/>
      </c>
      <c r="Q39" s="28" t="n"/>
    </row>
    <row r="40" ht="14.45" customHeight="1" s="52">
      <c r="A40" s="9" t="n">
        <v>11</v>
      </c>
      <c r="B40" s="9" t="inlineStr">
        <is>
          <t>74400-2.00</t>
        </is>
      </c>
      <c r="C40" s="69" t="n"/>
      <c r="D40" s="82" t="inlineStr">
        <is>
          <t>EXTRUSION, WIRE RETAINER</t>
        </is>
      </c>
      <c r="E40" s="68" t="n"/>
      <c r="F40" s="68" t="n"/>
      <c r="G40" s="68" t="n"/>
      <c r="H40" s="69" t="n"/>
      <c r="I40" s="9" t="n">
        <v>1</v>
      </c>
      <c r="J40" s="10">
        <f>IF(I40 = "","","EA")</f>
        <v/>
      </c>
      <c r="Q40" s="28" t="n"/>
    </row>
    <row r="41" ht="14.45" customHeight="1" s="52">
      <c r="A41" s="9" t="n">
        <v>12</v>
      </c>
      <c r="B41" s="9" t="n">
        <v>27421</v>
      </c>
      <c r="C41" s="69" t="n"/>
      <c r="D41" s="82" t="inlineStr">
        <is>
          <t>WIRE CLAMP, HEYCO, SMALL</t>
        </is>
      </c>
      <c r="E41" s="68" t="n"/>
      <c r="F41" s="68" t="n"/>
      <c r="G41" s="68" t="n"/>
      <c r="H41" s="69" t="n"/>
      <c r="I41" s="9" t="n">
        <v>1</v>
      </c>
      <c r="J41" s="10">
        <f>IF(I41 = "","","EA")</f>
        <v/>
      </c>
      <c r="Q41" s="28" t="n"/>
    </row>
    <row r="42" ht="13.5" customHeight="1" s="52">
      <c r="A42" s="9" t="n">
        <v>13</v>
      </c>
      <c r="B42" s="9">
        <f>IF(COUNT(SEARCH({"KC","KD","KG","KH","KY"}, CPN)),"72850", "")</f>
        <v/>
      </c>
      <c r="C42" s="69" t="n"/>
      <c r="D42" s="82">
        <f>IF(COUNT(SEARCH({"KC","KD","KG","KH","KY"}, CPN)),"HOUSING, ONE TOUCH, ABS, 3D PRINTED, W-VHB", "")</f>
        <v/>
      </c>
      <c r="E42" s="68" t="n"/>
      <c r="F42" s="68" t="n"/>
      <c r="G42" s="68" t="n"/>
      <c r="H42" s="69" t="n"/>
      <c r="I42" s="9">
        <f>IF(COUNT(SEARCH({"KC","KD","KG","KH","KY"}, D1)), "1", "")</f>
        <v/>
      </c>
      <c r="J42" s="10">
        <f>IF(I42 = "","","EA")</f>
        <v/>
      </c>
    </row>
    <row r="43" ht="13.5" customHeight="1" s="52">
      <c r="A43" s="9" t="n">
        <v>14</v>
      </c>
      <c r="B43" s="9">
        <f>IF(COUNT(SEARCH({"KC","KD","KG","KH","KY"}, CPN)), "72851", "")</f>
        <v/>
      </c>
      <c r="C43" s="69" t="n"/>
      <c r="D43" s="82">
        <f>IF(COUNT(SEARCH({"KC","KD","KG","KH","KY"}, CPN)),"COVER, ONE TOUCH, ABS, 3D PRINTED", "")</f>
        <v/>
      </c>
      <c r="E43" s="68" t="n"/>
      <c r="F43" s="68" t="n"/>
      <c r="G43" s="68" t="n"/>
      <c r="H43" s="69" t="n"/>
      <c r="I43" s="9">
        <f>IF(COUNT(SEARCH({"KC","KD","KG","KH","KY"}, D1)), "1", "")</f>
        <v/>
      </c>
      <c r="J43" s="10">
        <f>IF(I43 = "","","EA")</f>
        <v/>
      </c>
    </row>
    <row r="44" ht="13.5" customHeight="1" s="52">
      <c r="A44" s="9" t="n">
        <v>15</v>
      </c>
      <c r="B44" s="9">
        <f>IF(COUNT(SEARCH({"KC","KD","KG","KH","KY"}, CPN)),"26032", "")</f>
        <v/>
      </c>
      <c r="C44" s="69" t="n"/>
      <c r="D44" s="82">
        <f>IF(COUNT(SEARCH({"KC","KD","KG","KH","KY"}, CPN)),"WIRE CLAMP, HEYCO, LARGE", "")</f>
        <v/>
      </c>
      <c r="E44" s="68" t="n"/>
      <c r="F44" s="68" t="n"/>
      <c r="G44" s="68" t="n"/>
      <c r="H44" s="69" t="n"/>
      <c r="I44" s="9">
        <f>IF(COUNT(SEARCH({"KC","KD","KG","KH","KY"},D1)),"1","")</f>
        <v/>
      </c>
      <c r="J44" s="10">
        <f>IF(I44 = "","","EA")</f>
        <v/>
      </c>
    </row>
    <row r="45" ht="27.2" customHeight="1" s="52">
      <c r="A45" s="9" t="n">
        <v>16</v>
      </c>
      <c r="B45" s="9">
        <f>IF(COUNT(SEARCH({"KC"}, CPN)),"61857-KC", IF(COUNT(SEARCH({"KD"}, CPN)),"61857-KD", IF(COUNT(SEARCH({"KG"}, CPN)), "61857-KG", IF(COUNT(SEARCH({"KH"}, CPN)),"61857-KH", IF(COUNT(SEARCH({"KY"}, CPN)), "61857-KY", "")))))</f>
        <v/>
      </c>
      <c r="C45" s="69" t="n"/>
      <c r="D45" s="82">
        <f>IF(COUNT(SEARCH({"KC","KD","KG","KH","KY"}, CPN)), "KEEN 1 ASSEMBLY, *SEE 61857 PRODUCTION DOCUMENT FOR DETAILS", "")</f>
        <v/>
      </c>
      <c r="E45" s="68" t="n"/>
      <c r="F45" s="68" t="n"/>
      <c r="G45" s="68" t="n"/>
      <c r="H45" s="69" t="n"/>
      <c r="I45" s="9">
        <f>IF(COUNT(SEARCH({"KC","KD","KG","KH","KY"},D1)),"1","")</f>
        <v/>
      </c>
      <c r="J45" s="10">
        <f>IF(I45 = "","","EA")</f>
        <v/>
      </c>
    </row>
    <row r="46" ht="13.5" customHeight="1" s="52">
      <c r="A46" s="9" t="n">
        <v>17</v>
      </c>
      <c r="B46" s="9">
        <f>IF(COUNT(SEARCH({"KC","KD","KG","KH","KY"}, CPN)), IF(_xlfn.NUMBERVALUE(FIXED(CEILING((CONVERT(Width, "in", "mm") - 37.11842712) + (CONVERT(Height, "in", "mm") - 37.11842712) + (CONVERT(Width, "in", "mm") - 37.11842712) + (CONVERT(Height, "in", "mm") - 37.11842712) + (14.96183501 + 16.95674635 + 14.96183501 + 14.96183501), 50) /1000 * 0.0254 * IF(COUNT(SEARCH({"SO"}, CPN)), 24, 12), 2)) &gt; 85, "64090", "58821"), "")</f>
        <v/>
      </c>
      <c r="C46" s="69" t="n"/>
      <c r="D46" s="82">
        <f>IF(COUNT(SEARCH({"KC","KD","KG","KH","KY"}, CPN)),"HARNESS, MIRROR, KEEN", "")</f>
        <v/>
      </c>
      <c r="E46" s="68" t="n"/>
      <c r="F46" s="68" t="n"/>
      <c r="G46" s="68" t="n"/>
      <c r="H46" s="69" t="n"/>
      <c r="I46" s="9">
        <f>IF(COUNT(SEARCH({"KC","KD","KG","KH","KY"}, D1)), "1", "")</f>
        <v/>
      </c>
      <c r="J46" s="10">
        <f>IF(I46 = "","","EA")</f>
        <v/>
      </c>
    </row>
    <row r="47" ht="13.5" customHeight="1" s="52">
      <c r="A47" s="9" t="n">
        <v>18</v>
      </c>
      <c r="B47" s="9">
        <f>IF(COUNT(SEARCH({"CK"}, CPN)), "49684", "")</f>
        <v/>
      </c>
      <c r="C47" s="69" t="n"/>
      <c r="D47" s="82">
        <f>IF(COUNT(SEARCH({"CK"}, CPN)), "CLOCK, LED, ASSEMBLY", "")</f>
        <v/>
      </c>
      <c r="E47" s="68" t="n"/>
      <c r="F47" s="68" t="n"/>
      <c r="G47" s="68" t="n"/>
      <c r="H47" s="69" t="n"/>
      <c r="I47" s="9">
        <f>IF(COUNT(SEARCH({"CK"},D1)), "1","")</f>
        <v/>
      </c>
      <c r="J47" s="10">
        <f>IF(I47 = "","","EA")</f>
        <v/>
      </c>
    </row>
    <row r="48" ht="13.5" customHeight="1" s="52">
      <c r="A48" s="1" t="n"/>
      <c r="B48" s="1" t="n"/>
      <c r="C48" s="13" t="n"/>
    </row>
    <row r="49" ht="13.5" customHeight="1" s="52">
      <c r="A49" s="1" t="n"/>
      <c r="B49" s="1" t="n"/>
      <c r="C49" s="13" t="n"/>
      <c r="D49" s="54" t="n"/>
      <c r="E49" s="54" t="n"/>
      <c r="F49" s="54" t="n"/>
      <c r="G49" s="54" t="n"/>
      <c r="H49" s="54" t="n"/>
    </row>
    <row r="50">
      <c r="A50" s="1" t="n"/>
      <c r="B50" s="1" t="n"/>
      <c r="C50" s="7" t="n"/>
    </row>
    <row r="51">
      <c r="C51" s="7" t="n"/>
    </row>
    <row r="52" ht="13.5" customHeight="1" s="52">
      <c r="A52" s="1" t="n"/>
      <c r="B52" s="1" t="n"/>
      <c r="C52" s="13" t="n"/>
    </row>
    <row r="53">
      <c r="A53" s="1" t="n"/>
      <c r="B53" s="1" t="n"/>
      <c r="C53" s="7" t="n"/>
    </row>
    <row r="54" ht="13.5" customHeight="1" s="52">
      <c r="A54" s="1" t="n"/>
      <c r="B54" s="1" t="n"/>
      <c r="C54" s="13" t="n"/>
      <c r="D54" s="54" t="n"/>
      <c r="E54" s="54" t="n"/>
      <c r="F54" s="54" t="n"/>
      <c r="G54" s="54" t="n"/>
      <c r="H54" s="54" t="n"/>
    </row>
    <row r="55" ht="13.5" customHeight="1" s="52">
      <c r="A55" s="3" t="n"/>
      <c r="B55" s="3" t="n"/>
      <c r="C55" s="3" t="n"/>
      <c r="D55" s="4" t="n"/>
      <c r="E55" s="4" t="n"/>
      <c r="F55" s="4" t="n"/>
      <c r="G55" s="4" t="n"/>
      <c r="H55" s="4" t="n"/>
      <c r="I55" s="3" t="n"/>
    </row>
    <row r="56" ht="13.5" customHeight="1" s="52">
      <c r="A56" s="3" t="n"/>
      <c r="B56" s="3" t="n"/>
      <c r="C56" s="3" t="n"/>
      <c r="D56" s="4" t="n"/>
      <c r="E56" s="4" t="n"/>
      <c r="F56" s="4" t="n"/>
      <c r="G56" s="4" t="n"/>
      <c r="H56" s="4" t="n"/>
      <c r="I56" s="3" t="n"/>
    </row>
    <row r="57" ht="13.5" customHeight="1" s="52">
      <c r="A57" s="3" t="n"/>
      <c r="B57" s="3" t="n"/>
      <c r="C57" s="3" t="n"/>
      <c r="D57" s="4" t="n"/>
      <c r="E57" s="4" t="n"/>
      <c r="F57" s="4" t="n"/>
      <c r="G57" s="4" t="n"/>
      <c r="H57" s="4" t="n"/>
      <c r="I57" s="3" t="n"/>
    </row>
    <row r="58" ht="13.5" customHeight="1" s="52">
      <c r="A58" s="3" t="n"/>
      <c r="B58" s="3" t="n"/>
      <c r="C58" s="3" t="n"/>
      <c r="D58" s="4" t="n"/>
      <c r="E58" s="4" t="n"/>
      <c r="F58" s="4" t="n"/>
      <c r="G58" s="4" t="n"/>
      <c r="H58" s="4" t="n"/>
      <c r="I58" s="3" t="n"/>
    </row>
    <row r="59" ht="13.5" customHeight="1" s="52">
      <c r="A59" s="3" t="n"/>
      <c r="B59" s="3" t="n"/>
      <c r="C59" s="3" t="n"/>
      <c r="D59" s="4" t="n"/>
      <c r="E59" s="4" t="n"/>
      <c r="F59" s="4" t="n"/>
      <c r="G59" s="4" t="n"/>
      <c r="H59" s="4" t="n"/>
      <c r="I59" s="3" t="n"/>
    </row>
    <row r="60" ht="13.5" customHeight="1" s="52">
      <c r="A60" s="3" t="n"/>
      <c r="B60" s="3" t="n"/>
      <c r="C60" s="3" t="n"/>
      <c r="D60" s="4" t="n"/>
      <c r="E60" s="4" t="n"/>
      <c r="F60" s="4" t="n"/>
      <c r="G60" s="4" t="n"/>
      <c r="H60" s="4" t="n"/>
      <c r="I60" s="3" t="n"/>
    </row>
    <row r="61" ht="13.5" customHeight="1" s="52">
      <c r="A61" s="3" t="n"/>
      <c r="B61" s="3" t="n"/>
      <c r="C61" s="3" t="n"/>
      <c r="D61" s="4" t="n"/>
      <c r="E61" s="4" t="n"/>
      <c r="F61" s="4" t="n"/>
      <c r="G61" s="4" t="n"/>
      <c r="H61" s="4" t="n"/>
      <c r="I61" s="3" t="n"/>
    </row>
    <row r="62" ht="13.5" customHeight="1" s="52">
      <c r="A62" s="3" t="n"/>
      <c r="B62" s="3" t="n"/>
      <c r="C62" s="3" t="n"/>
      <c r="D62" s="4" t="n"/>
      <c r="E62" s="4" t="n"/>
      <c r="F62" s="4" t="n"/>
      <c r="G62" s="4" t="n"/>
      <c r="H62" s="4" t="n"/>
      <c r="I62" s="3" t="n"/>
    </row>
    <row r="63" ht="13.5" customHeight="1" s="52">
      <c r="A63" s="3" t="n"/>
      <c r="B63" s="3" t="n"/>
      <c r="C63" s="3" t="n"/>
      <c r="D63" s="4" t="n"/>
      <c r="E63" s="4" t="n"/>
      <c r="F63" s="4" t="n"/>
      <c r="G63" s="4" t="n"/>
      <c r="H63" s="4" t="n"/>
      <c r="I63" s="3" t="n"/>
    </row>
    <row r="64" ht="13.5" customHeight="1" s="52">
      <c r="A64" s="3" t="n"/>
      <c r="B64" s="3" t="n"/>
      <c r="C64" s="3" t="n"/>
      <c r="D64" s="4" t="n"/>
      <c r="E64" s="4" t="n"/>
      <c r="F64" s="4" t="n"/>
      <c r="G64" s="4" t="n"/>
      <c r="H64" s="4" t="n"/>
      <c r="I64" s="3" t="n"/>
    </row>
    <row r="65" ht="13.5" customHeight="1" s="52">
      <c r="A65" s="3" t="n"/>
      <c r="B65" s="3" t="n"/>
      <c r="C65" s="3" t="n"/>
      <c r="D65" s="4" t="n"/>
      <c r="E65" s="4" t="n"/>
      <c r="F65" s="4" t="n"/>
      <c r="G65" s="4" t="n"/>
      <c r="H65" s="4" t="n"/>
      <c r="I65" s="3" t="n"/>
    </row>
    <row r="66" ht="13.5" customHeight="1" s="52">
      <c r="A66" s="3" t="n"/>
      <c r="B66" s="3" t="n"/>
      <c r="C66" s="3" t="n"/>
      <c r="D66" s="4" t="n"/>
      <c r="E66" s="4" t="n"/>
      <c r="F66" s="4" t="n"/>
      <c r="G66" s="4" t="n"/>
      <c r="H66" s="4" t="n"/>
      <c r="I66" s="3" t="n"/>
    </row>
    <row r="67" ht="13.5" customHeight="1" s="52">
      <c r="A67" s="3" t="n"/>
      <c r="B67" s="3" t="n"/>
      <c r="C67" s="3" t="n"/>
      <c r="D67" s="4" t="n"/>
      <c r="E67" s="4" t="n"/>
      <c r="F67" s="4" t="n"/>
      <c r="G67" s="4" t="n"/>
      <c r="H67" s="4" t="n"/>
      <c r="I67" s="3" t="n"/>
    </row>
    <row r="68" ht="13.5" customHeight="1" s="52">
      <c r="A68" s="3" t="n"/>
      <c r="B68" s="3" t="n"/>
      <c r="C68" s="3" t="n"/>
      <c r="D68" s="4" t="n"/>
      <c r="E68" s="4" t="n"/>
      <c r="F68" s="4" t="n"/>
      <c r="G68" s="4" t="n"/>
      <c r="H68" s="4" t="n"/>
      <c r="I68" s="3" t="n"/>
    </row>
    <row r="69" ht="13.5" customHeight="1" s="52">
      <c r="A69" s="3" t="n"/>
      <c r="B69" s="3" t="n"/>
      <c r="C69" s="3" t="n"/>
      <c r="D69" s="4" t="n"/>
      <c r="E69" s="4" t="n"/>
      <c r="F69" s="4" t="n"/>
      <c r="G69" s="4" t="n"/>
      <c r="H69" s="4" t="n"/>
      <c r="I69" s="3" t="n"/>
    </row>
    <row r="70" ht="13.5" customHeight="1" s="52">
      <c r="A70" s="3" t="n"/>
      <c r="B70" s="3" t="n"/>
      <c r="C70" s="3" t="n"/>
      <c r="D70" s="4" t="n"/>
      <c r="E70" s="4" t="n"/>
      <c r="F70" s="4" t="n"/>
      <c r="G70" s="4" t="n"/>
      <c r="H70" s="4" t="n"/>
      <c r="I70" s="3" t="n"/>
    </row>
    <row r="78">
      <c r="C78" s="54" t="n"/>
    </row>
    <row r="79">
      <c r="C79" s="54" t="n"/>
    </row>
    <row r="80">
      <c r="C80" s="54" t="n"/>
    </row>
    <row r="81">
      <c r="C81" s="54" t="n"/>
    </row>
    <row r="82">
      <c r="C82" s="54" t="n"/>
    </row>
    <row r="83">
      <c r="C83" s="54" t="n"/>
    </row>
    <row r="84">
      <c r="C84" s="54" t="n"/>
    </row>
    <row r="87">
      <c r="C87" s="54" t="n"/>
    </row>
    <row r="88">
      <c r="C88" s="54" t="n"/>
    </row>
    <row r="89">
      <c r="C89" s="54" t="n"/>
    </row>
    <row r="90">
      <c r="C90" s="54" t="n"/>
    </row>
    <row r="91">
      <c r="C91" s="54" t="n"/>
    </row>
    <row r="92">
      <c r="C92" s="54" t="n"/>
    </row>
    <row r="93">
      <c r="C93" s="54" t="n"/>
    </row>
    <row r="95">
      <c r="C95" s="54" t="n"/>
    </row>
    <row r="96">
      <c r="C96" s="54" t="n"/>
    </row>
    <row r="101">
      <c r="C101" s="59" t="n"/>
    </row>
    <row r="102">
      <c r="C102" s="59" t="n"/>
      <c r="D102" s="5" t="n"/>
      <c r="E102" s="5" t="n"/>
      <c r="F102" s="5" t="n"/>
      <c r="G102" s="5" t="n"/>
      <c r="H102" s="5" t="n"/>
    </row>
    <row r="103">
      <c r="C103" s="59" t="n"/>
    </row>
    <row r="104">
      <c r="D104" s="7" t="n"/>
      <c r="E104" s="7" t="n"/>
      <c r="F104" s="7" t="n"/>
      <c r="G104" s="7" t="n"/>
      <c r="H104" s="7" t="n"/>
    </row>
    <row r="105">
      <c r="C105" s="59" t="n"/>
    </row>
    <row r="107" ht="13.5" customHeight="1" s="5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6" t="n"/>
    </row>
  </sheetData>
  <mergeCells count="75">
    <mergeCell ref="H26:H27"/>
    <mergeCell ref="D35:H35"/>
    <mergeCell ref="B47:C47"/>
    <mergeCell ref="B7:C7"/>
    <mergeCell ref="B9:H9"/>
    <mergeCell ref="D34:H34"/>
    <mergeCell ref="B3:C3"/>
    <mergeCell ref="D1:H1"/>
    <mergeCell ref="G13:G14"/>
    <mergeCell ref="D21:D22"/>
    <mergeCell ref="B46:C46"/>
    <mergeCell ref="H21:H22"/>
    <mergeCell ref="D31:H31"/>
    <mergeCell ref="D46:H46"/>
    <mergeCell ref="B31:C31"/>
    <mergeCell ref="D40:H40"/>
    <mergeCell ref="D36:H36"/>
    <mergeCell ref="B43:C43"/>
    <mergeCell ref="B39:C39"/>
    <mergeCell ref="D45:H45"/>
    <mergeCell ref="F21:F22"/>
    <mergeCell ref="B2:C2"/>
    <mergeCell ref="D6:H6"/>
    <mergeCell ref="B21:B22"/>
    <mergeCell ref="B13:B14"/>
    <mergeCell ref="D2:H2"/>
    <mergeCell ref="F26:F27"/>
    <mergeCell ref="D13:D14"/>
    <mergeCell ref="B42:C42"/>
    <mergeCell ref="D16:D17"/>
    <mergeCell ref="D41:H41"/>
    <mergeCell ref="D32:H32"/>
    <mergeCell ref="B8:C8"/>
    <mergeCell ref="H19:H20"/>
    <mergeCell ref="F13:F14"/>
    <mergeCell ref="D7:H7"/>
    <mergeCell ref="H13:H14"/>
    <mergeCell ref="B44:C44"/>
    <mergeCell ref="D47:H47"/>
    <mergeCell ref="B29:C29"/>
    <mergeCell ref="D43:H43"/>
    <mergeCell ref="B38:C38"/>
    <mergeCell ref="H16:H17"/>
    <mergeCell ref="B34:C34"/>
    <mergeCell ref="B37:C37"/>
    <mergeCell ref="I13:I14"/>
    <mergeCell ref="D37:H37"/>
    <mergeCell ref="B40:C40"/>
    <mergeCell ref="D4:H4"/>
    <mergeCell ref="H24:H25"/>
    <mergeCell ref="D3:H3"/>
    <mergeCell ref="B6:C6"/>
    <mergeCell ref="D30:H30"/>
    <mergeCell ref="D8:H8"/>
    <mergeCell ref="D39:H39"/>
    <mergeCell ref="B30:C30"/>
    <mergeCell ref="B33:C33"/>
    <mergeCell ref="B19:G20"/>
    <mergeCell ref="B24:G25"/>
    <mergeCell ref="D42:H42"/>
    <mergeCell ref="D26:D27"/>
    <mergeCell ref="D33:H33"/>
    <mergeCell ref="B45:C45"/>
    <mergeCell ref="D29:H29"/>
    <mergeCell ref="D5:H5"/>
    <mergeCell ref="B36:C36"/>
    <mergeCell ref="D38:H38"/>
    <mergeCell ref="B16:B17"/>
    <mergeCell ref="B10:H10"/>
    <mergeCell ref="B32:C32"/>
    <mergeCell ref="B41:C41"/>
    <mergeCell ref="B26:B27"/>
    <mergeCell ref="F16:F17"/>
    <mergeCell ref="B35:C35"/>
    <mergeCell ref="D44:H44"/>
  </mergeCells>
  <conditionalFormatting sqref="B24">
    <cfRule type="notContainsBlanks" priority="53" dxfId="10">
      <formula>LEN(TRIM(B24))&gt;0</formula>
    </cfRule>
  </conditionalFormatting>
  <conditionalFormatting sqref="B31:C31">
    <cfRule type="containsText" priority="1" operator="containsText" dxfId="9" text="Error">
      <formula>NOT(ISERROR(SEARCH("Error",B31)))</formula>
    </cfRule>
  </conditionalFormatting>
  <conditionalFormatting sqref="B38:J38 B42:J47">
    <cfRule type="containsBlanks" priority="61" dxfId="8">
      <formula>LEN(TRIM(B38))=0</formula>
    </cfRule>
  </conditionalFormatting>
  <conditionalFormatting sqref="C13:C15">
    <cfRule type="cellIs" priority="44" operator="equal" dxfId="1">
      <formula>"N/A"</formula>
    </cfRule>
  </conditionalFormatting>
  <conditionalFormatting sqref="C14:C15">
    <cfRule type="cellIs" priority="45" operator="equal" dxfId="3">
      <formula>"N/A"</formula>
    </cfRule>
    <cfRule type="cellIs" priority="46" operator="equal" dxfId="2">
      <formula>"N/A"</formula>
    </cfRule>
  </conditionalFormatting>
  <conditionalFormatting sqref="E13:E15">
    <cfRule type="cellIs" priority="41" operator="equal" dxfId="1">
      <formula>"N/A"</formula>
    </cfRule>
  </conditionalFormatting>
  <conditionalFormatting sqref="E14:E15">
    <cfRule type="cellIs" priority="42" operator="equal" dxfId="3">
      <formula>"N/A"</formula>
    </cfRule>
    <cfRule type="cellIs" priority="43" operator="equal" dxfId="2">
      <formula>"N/A"</formula>
    </cfRule>
  </conditionalFormatting>
  <conditionalFormatting sqref="G13">
    <cfRule type="cellIs" priority="38" operator="equal" dxfId="1">
      <formula>"N/A"</formula>
    </cfRule>
  </conditionalFormatting>
  <conditionalFormatting sqref="C21 C26 E21 E26 G21 G26 I19 I21 I24 I26">
    <cfRule type="containsText" priority="2" operator="containsText" dxfId="0" text="N/A">
      <formula>NOT(ISERROR(SEARCH("N/A",C19)))</formula>
    </cfRule>
  </conditionalFormatting>
  <pageMargins left="0.40625" right="0.3229166666666667" top="0.75" bottom="0.75" header="0.3" footer="0.3"/>
  <pageSetup orientation="portrait"/>
  <headerFooter>
    <oddHeader>&amp;C&amp;22 BILL OF MATERIALS</oddHeader>
    <oddFooter>&amp;C&amp;10 ELECTRIC MIRROR®    425.776.4946 | electricmirror.com | 6101 Associated Blvd., Suite 101, Everett, WA 98203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Stuart King;BEENS</dc:creator>
  <dcterms:created xsi:type="dcterms:W3CDTF">2017-01-06T23:16:44Z</dcterms:created>
  <dcterms:modified xsi:type="dcterms:W3CDTF">2026-06-02T16:46:59Z</dcterms:modified>
  <cp:lastModifiedBy>Carlos Lopez</cp:lastModifiedBy>
  <cp:lastPrinted>2023-10-10T20:28:55Z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ate" fmtid="{D5CDD505-2E9C-101B-9397-08002B2CF9AE}" pid="2">
    <vt:filetime>2018-06-14T00:00:00Z</vt:filetime>
  </property>
  <property name="Project name" fmtid="{D5CDD505-2E9C-101B-9397-08002B2CF9AE}" pid="3">
    <vt:lpwstr>
    </vt:lpwstr>
  </property>
  <property name="ProjectNumber" fmtid="{D5CDD505-2E9C-101B-9397-08002B2CF9AE}" pid="4">
    <vt:lpwstr> </vt:lpwstr>
  </property>
</Properties>
</file>